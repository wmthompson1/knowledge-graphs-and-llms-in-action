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939002AD-C4D1-4E16-BF3A-B011807D3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" i="1" l="1"/>
  <c r="I45" i="1"/>
  <c r="I44" i="1"/>
  <c r="I41" i="1"/>
  <c r="I12" i="1"/>
</calcChain>
</file>

<file path=xl/sharedStrings.xml><?xml version="1.0" encoding="utf-8"?>
<sst xmlns="http://schemas.openxmlformats.org/spreadsheetml/2006/main" count="252" uniqueCount="24">
  <si>
    <t>source</t>
  </si>
  <si>
    <t>WORKORDER_BASE_ID</t>
  </si>
  <si>
    <t>id</t>
  </si>
  <si>
    <t>DESCRIPTION</t>
  </si>
  <si>
    <t>GL_ACCOUNT_ID</t>
  </si>
  <si>
    <t>AMOUNT_TYPE</t>
  </si>
  <si>
    <t>AMOUNT</t>
  </si>
  <si>
    <t>signed_amount</t>
  </si>
  <si>
    <t>A</t>
  </si>
  <si>
    <t>1771611</t>
  </si>
  <si>
    <t>163</t>
  </si>
  <si>
    <t>Work in Process</t>
  </si>
  <si>
    <t>DR</t>
  </si>
  <si>
    <t>6041</t>
  </si>
  <si>
    <t>Applied Labor - Aub Finish</t>
  </si>
  <si>
    <t>CR</t>
  </si>
  <si>
    <t>6041.1</t>
  </si>
  <si>
    <t>Applied Factory Burden - Aub Finish</t>
  </si>
  <si>
    <t>6043</t>
  </si>
  <si>
    <t>Applied Labor - Manufacturing</t>
  </si>
  <si>
    <t>6043.1</t>
  </si>
  <si>
    <t>Applied Factory Burden - Manufacturing</t>
  </si>
  <si>
    <t>60[11-4][.1]</t>
  </si>
  <si>
    <t>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</si>
</sst>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2" borderId="0" xfId="0" applyFont="1" applyFill="1"/>
    <xf numFmtId="43" fontId="0" fillId="0" borderId="0" xfId="1" applyFont="1"/>
    <xf numFmtId="43" fontId="1" fillId="0" borderId="1" xfId="1" applyFont="1" applyBorder="1"/>
    <xf numFmtId="43" fontId="0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31" workbookViewId="0">
      <selection activeCell="J37" sqref="J37"/>
    </sheetView>
  </sheetViews>
  <sheetFormatPr defaultRowHeight="14.4" x14ac:dyDescent="0.3"/>
  <cols>
    <col min="4" max="4" width="33.88671875" bestFit="1" customWidth="1"/>
    <col min="7" max="7" width="9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3"/>
    </row>
    <row r="2" spans="1:10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12</v>
      </c>
      <c r="G2" s="2">
        <v>-272.77</v>
      </c>
      <c r="H2" s="2">
        <v>-272.77</v>
      </c>
      <c r="I2" s="2"/>
      <c r="J2" s="3"/>
    </row>
    <row r="3" spans="1:10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10</v>
      </c>
      <c r="F3" s="2" t="s">
        <v>12</v>
      </c>
      <c r="G3" s="2">
        <v>71.7</v>
      </c>
      <c r="H3" s="2">
        <v>71.7</v>
      </c>
      <c r="I3" s="2"/>
      <c r="J3" s="3"/>
    </row>
    <row r="4" spans="1:10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10</v>
      </c>
      <c r="F4" s="2" t="s">
        <v>12</v>
      </c>
      <c r="G4" s="2">
        <v>260.74</v>
      </c>
      <c r="H4" s="2">
        <v>260.74</v>
      </c>
      <c r="I4" s="2"/>
      <c r="J4" s="3"/>
    </row>
    <row r="5" spans="1:10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10</v>
      </c>
      <c r="F5" s="2" t="s">
        <v>12</v>
      </c>
      <c r="G5" s="2">
        <v>423.85</v>
      </c>
      <c r="H5" s="2">
        <v>423.85</v>
      </c>
      <c r="I5" s="2"/>
      <c r="J5" s="3"/>
    </row>
    <row r="6" spans="1:10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10</v>
      </c>
      <c r="F6" s="2" t="s">
        <v>12</v>
      </c>
      <c r="G6" s="2">
        <v>476.64</v>
      </c>
      <c r="H6" s="2">
        <v>476.64</v>
      </c>
      <c r="I6" s="2"/>
      <c r="J6" s="3"/>
    </row>
    <row r="7" spans="1:10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10</v>
      </c>
      <c r="F7" s="2" t="s">
        <v>12</v>
      </c>
      <c r="G7" s="2">
        <v>581.75</v>
      </c>
      <c r="H7" s="2">
        <v>581.75</v>
      </c>
      <c r="I7" s="2"/>
      <c r="J7" s="3"/>
    </row>
    <row r="8" spans="1:10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10</v>
      </c>
      <c r="F8" s="2" t="s">
        <v>12</v>
      </c>
      <c r="G8" s="2">
        <v>670.84</v>
      </c>
      <c r="H8" s="2">
        <v>670.84</v>
      </c>
      <c r="I8" s="2"/>
      <c r="J8" s="3"/>
    </row>
    <row r="9" spans="1:10" x14ac:dyDescent="0.3">
      <c r="A9" s="2" t="s">
        <v>8</v>
      </c>
      <c r="B9" s="2" t="s">
        <v>9</v>
      </c>
      <c r="C9" s="2" t="s">
        <v>10</v>
      </c>
      <c r="D9" s="2" t="s">
        <v>11</v>
      </c>
      <c r="E9" s="2" t="s">
        <v>10</v>
      </c>
      <c r="F9" s="2" t="s">
        <v>12</v>
      </c>
      <c r="G9" s="2">
        <v>1037.9000000000001</v>
      </c>
      <c r="H9" s="2">
        <v>1037.9000000000001</v>
      </c>
      <c r="I9" s="2"/>
      <c r="J9" s="3"/>
    </row>
    <row r="10" spans="1:10" x14ac:dyDescent="0.3">
      <c r="A10" s="2" t="s">
        <v>8</v>
      </c>
      <c r="B10" s="2" t="s">
        <v>9</v>
      </c>
      <c r="C10" s="2" t="s">
        <v>10</v>
      </c>
      <c r="D10" s="2" t="s">
        <v>11</v>
      </c>
      <c r="E10" s="2" t="s">
        <v>10</v>
      </c>
      <c r="F10" s="2" t="s">
        <v>12</v>
      </c>
      <c r="G10" s="2">
        <v>1232.01</v>
      </c>
      <c r="H10" s="2">
        <v>1232.01</v>
      </c>
      <c r="I10" s="2"/>
      <c r="J10" s="3"/>
    </row>
    <row r="11" spans="1:10" x14ac:dyDescent="0.3">
      <c r="A11" s="2" t="s">
        <v>8</v>
      </c>
      <c r="B11" s="2" t="s">
        <v>9</v>
      </c>
      <c r="C11" s="2" t="s">
        <v>10</v>
      </c>
      <c r="D11" s="2" t="s">
        <v>11</v>
      </c>
      <c r="E11" s="2" t="s">
        <v>10</v>
      </c>
      <c r="F11" s="2" t="s">
        <v>12</v>
      </c>
      <c r="G11" s="2">
        <v>2150.58</v>
      </c>
      <c r="H11" s="2">
        <v>2150.58</v>
      </c>
      <c r="I11" s="2"/>
      <c r="J11" s="3"/>
    </row>
    <row r="12" spans="1:10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10</v>
      </c>
      <c r="F12" s="4" t="s">
        <v>12</v>
      </c>
      <c r="G12" s="4">
        <v>2630.47</v>
      </c>
      <c r="H12" s="4">
        <v>2630.47</v>
      </c>
      <c r="I12" s="4">
        <f>SUM(H2:H12)</f>
        <v>9263.7099999999991</v>
      </c>
      <c r="J12" s="5"/>
    </row>
    <row r="13" spans="1:10" x14ac:dyDescent="0.3">
      <c r="A13" t="s">
        <v>8</v>
      </c>
      <c r="B13" t="s">
        <v>9</v>
      </c>
      <c r="C13" t="s">
        <v>13</v>
      </c>
      <c r="D13" t="s">
        <v>14</v>
      </c>
      <c r="E13" t="s">
        <v>13</v>
      </c>
      <c r="F13" t="s">
        <v>15</v>
      </c>
      <c r="G13">
        <v>1.83</v>
      </c>
      <c r="H13">
        <v>-1.83</v>
      </c>
    </row>
    <row r="14" spans="1:10" x14ac:dyDescent="0.3">
      <c r="A14" t="s">
        <v>8</v>
      </c>
      <c r="B14" t="s">
        <v>9</v>
      </c>
      <c r="C14" t="s">
        <v>13</v>
      </c>
      <c r="D14" t="s">
        <v>14</v>
      </c>
      <c r="E14" t="s">
        <v>13</v>
      </c>
      <c r="F14" t="s">
        <v>15</v>
      </c>
      <c r="G14">
        <v>2.56</v>
      </c>
      <c r="H14">
        <v>-2.56</v>
      </c>
    </row>
    <row r="15" spans="1:10" x14ac:dyDescent="0.3">
      <c r="A15" t="s">
        <v>8</v>
      </c>
      <c r="B15" t="s">
        <v>9</v>
      </c>
      <c r="C15" t="s">
        <v>13</v>
      </c>
      <c r="D15" t="s">
        <v>14</v>
      </c>
      <c r="E15" t="s">
        <v>13</v>
      </c>
      <c r="F15" t="s">
        <v>15</v>
      </c>
      <c r="G15">
        <v>445.66</v>
      </c>
      <c r="H15">
        <v>-445.66</v>
      </c>
    </row>
    <row r="16" spans="1:10" x14ac:dyDescent="0.3">
      <c r="A16" t="s">
        <v>8</v>
      </c>
      <c r="B16" t="s">
        <v>9</v>
      </c>
      <c r="C16" t="s">
        <v>16</v>
      </c>
      <c r="D16" t="s">
        <v>17</v>
      </c>
      <c r="E16" t="s">
        <v>16</v>
      </c>
      <c r="F16" t="s">
        <v>15</v>
      </c>
      <c r="G16">
        <v>-237.5</v>
      </c>
      <c r="H16">
        <v>237.5</v>
      </c>
    </row>
    <row r="17" spans="1:8" x14ac:dyDescent="0.3">
      <c r="A17" t="s">
        <v>8</v>
      </c>
      <c r="B17" t="s">
        <v>9</v>
      </c>
      <c r="C17" t="s">
        <v>16</v>
      </c>
      <c r="D17" t="s">
        <v>17</v>
      </c>
      <c r="E17" t="s">
        <v>16</v>
      </c>
      <c r="F17" t="s">
        <v>15</v>
      </c>
      <c r="G17">
        <v>0.01</v>
      </c>
      <c r="H17">
        <v>-0.01</v>
      </c>
    </row>
    <row r="18" spans="1:8" x14ac:dyDescent="0.3">
      <c r="A18" t="s">
        <v>8</v>
      </c>
      <c r="B18" t="s">
        <v>9</v>
      </c>
      <c r="C18" t="s">
        <v>16</v>
      </c>
      <c r="D18" t="s">
        <v>17</v>
      </c>
      <c r="E18" t="s">
        <v>16</v>
      </c>
      <c r="F18" t="s">
        <v>15</v>
      </c>
      <c r="G18">
        <v>2.04</v>
      </c>
      <c r="H18">
        <v>-2.04</v>
      </c>
    </row>
    <row r="19" spans="1:8" x14ac:dyDescent="0.3">
      <c r="A19" t="s">
        <v>8</v>
      </c>
      <c r="B19" t="s">
        <v>9</v>
      </c>
      <c r="C19" t="s">
        <v>16</v>
      </c>
      <c r="D19" t="s">
        <v>17</v>
      </c>
      <c r="E19" t="s">
        <v>16</v>
      </c>
      <c r="F19" t="s">
        <v>15</v>
      </c>
      <c r="G19">
        <v>227.19</v>
      </c>
      <c r="H19">
        <v>-227.19</v>
      </c>
    </row>
    <row r="20" spans="1:8" x14ac:dyDescent="0.3">
      <c r="A20" t="s">
        <v>8</v>
      </c>
      <c r="B20" t="s">
        <v>9</v>
      </c>
      <c r="C20" t="s">
        <v>16</v>
      </c>
      <c r="D20" t="s">
        <v>17</v>
      </c>
      <c r="E20" t="s">
        <v>16</v>
      </c>
      <c r="F20" t="s">
        <v>15</v>
      </c>
      <c r="G20">
        <v>240.4</v>
      </c>
      <c r="H20">
        <v>-240.4</v>
      </c>
    </row>
    <row r="21" spans="1:8" x14ac:dyDescent="0.3">
      <c r="A21" t="s">
        <v>8</v>
      </c>
      <c r="B21" t="s">
        <v>9</v>
      </c>
      <c r="C21" t="s">
        <v>16</v>
      </c>
      <c r="D21" t="s">
        <v>17</v>
      </c>
      <c r="E21" t="s">
        <v>16</v>
      </c>
      <c r="F21" t="s">
        <v>15</v>
      </c>
      <c r="G21">
        <v>499.1</v>
      </c>
      <c r="H21">
        <v>-499.1</v>
      </c>
    </row>
    <row r="22" spans="1:8" x14ac:dyDescent="0.3">
      <c r="A22" t="s">
        <v>8</v>
      </c>
      <c r="B22" t="s">
        <v>9</v>
      </c>
      <c r="C22" t="s">
        <v>18</v>
      </c>
      <c r="D22" t="s">
        <v>19</v>
      </c>
      <c r="E22" t="s">
        <v>18</v>
      </c>
      <c r="F22" t="s">
        <v>15</v>
      </c>
      <c r="G22">
        <v>4.0199999999999996</v>
      </c>
      <c r="H22">
        <v>-4.0199999999999996</v>
      </c>
    </row>
    <row r="23" spans="1:8" x14ac:dyDescent="0.3">
      <c r="A23" t="s">
        <v>8</v>
      </c>
      <c r="B23" t="s">
        <v>9</v>
      </c>
      <c r="C23" t="s">
        <v>18</v>
      </c>
      <c r="D23" t="s">
        <v>19</v>
      </c>
      <c r="E23" t="s">
        <v>18</v>
      </c>
      <c r="F23" t="s">
        <v>15</v>
      </c>
      <c r="G23">
        <v>40.74</v>
      </c>
      <c r="H23">
        <v>-40.74</v>
      </c>
    </row>
    <row r="24" spans="1:8" x14ac:dyDescent="0.3">
      <c r="A24" t="s">
        <v>8</v>
      </c>
      <c r="B24" t="s">
        <v>9</v>
      </c>
      <c r="C24" t="s">
        <v>18</v>
      </c>
      <c r="D24" t="s">
        <v>19</v>
      </c>
      <c r="E24" t="s">
        <v>18</v>
      </c>
      <c r="F24" t="s">
        <v>15</v>
      </c>
      <c r="G24">
        <v>52.92</v>
      </c>
      <c r="H24">
        <v>-52.92</v>
      </c>
    </row>
    <row r="25" spans="1:8" x14ac:dyDescent="0.3">
      <c r="A25" t="s">
        <v>8</v>
      </c>
      <c r="B25" t="s">
        <v>9</v>
      </c>
      <c r="C25" t="s">
        <v>18</v>
      </c>
      <c r="D25" t="s">
        <v>19</v>
      </c>
      <c r="E25" t="s">
        <v>18</v>
      </c>
      <c r="F25" t="s">
        <v>15</v>
      </c>
      <c r="G25">
        <v>82.74</v>
      </c>
      <c r="H25">
        <v>-82.74</v>
      </c>
    </row>
    <row r="26" spans="1:8" x14ac:dyDescent="0.3">
      <c r="A26" t="s">
        <v>8</v>
      </c>
      <c r="B26" t="s">
        <v>9</v>
      </c>
      <c r="C26" t="s">
        <v>18</v>
      </c>
      <c r="D26" t="s">
        <v>19</v>
      </c>
      <c r="E26" t="s">
        <v>18</v>
      </c>
      <c r="F26" t="s">
        <v>15</v>
      </c>
      <c r="G26">
        <v>270.8</v>
      </c>
      <c r="H26">
        <v>-270.8</v>
      </c>
    </row>
    <row r="27" spans="1:8" x14ac:dyDescent="0.3">
      <c r="A27" t="s">
        <v>8</v>
      </c>
      <c r="B27" t="s">
        <v>9</v>
      </c>
      <c r="C27" t="s">
        <v>18</v>
      </c>
      <c r="D27" t="s">
        <v>19</v>
      </c>
      <c r="E27" t="s">
        <v>18</v>
      </c>
      <c r="F27" t="s">
        <v>15</v>
      </c>
      <c r="G27">
        <v>330.54</v>
      </c>
      <c r="H27">
        <v>-330.54</v>
      </c>
    </row>
    <row r="28" spans="1:8" x14ac:dyDescent="0.3">
      <c r="A28" t="s">
        <v>8</v>
      </c>
      <c r="B28" t="s">
        <v>9</v>
      </c>
      <c r="C28" t="s">
        <v>18</v>
      </c>
      <c r="D28" t="s">
        <v>19</v>
      </c>
      <c r="E28" t="s">
        <v>18</v>
      </c>
      <c r="F28" t="s">
        <v>15</v>
      </c>
      <c r="G28">
        <v>374.64</v>
      </c>
      <c r="H28">
        <v>-374.64</v>
      </c>
    </row>
    <row r="29" spans="1:8" x14ac:dyDescent="0.3">
      <c r="A29" t="s">
        <v>8</v>
      </c>
      <c r="B29" t="s">
        <v>9</v>
      </c>
      <c r="C29" t="s">
        <v>18</v>
      </c>
      <c r="D29" t="s">
        <v>19</v>
      </c>
      <c r="E29" t="s">
        <v>18</v>
      </c>
      <c r="F29" t="s">
        <v>15</v>
      </c>
      <c r="G29">
        <v>584.16999999999996</v>
      </c>
      <c r="H29">
        <v>-584.16999999999996</v>
      </c>
    </row>
    <row r="30" spans="1:8" x14ac:dyDescent="0.3">
      <c r="A30" t="s">
        <v>8</v>
      </c>
      <c r="B30" t="s">
        <v>9</v>
      </c>
      <c r="C30" t="s">
        <v>18</v>
      </c>
      <c r="D30" t="s">
        <v>19</v>
      </c>
      <c r="E30" t="s">
        <v>18</v>
      </c>
      <c r="F30" t="s">
        <v>15</v>
      </c>
      <c r="G30">
        <v>997.49</v>
      </c>
      <c r="H30">
        <v>-997.49</v>
      </c>
    </row>
    <row r="31" spans="1:8" x14ac:dyDescent="0.3">
      <c r="A31" t="s">
        <v>8</v>
      </c>
      <c r="B31" t="s">
        <v>9</v>
      </c>
      <c r="C31" t="s">
        <v>20</v>
      </c>
      <c r="D31" t="s">
        <v>21</v>
      </c>
      <c r="E31" t="s">
        <v>20</v>
      </c>
      <c r="F31" t="s">
        <v>15</v>
      </c>
      <c r="G31">
        <v>-35.270000000000003</v>
      </c>
      <c r="H31">
        <v>35.270000000000003</v>
      </c>
    </row>
    <row r="32" spans="1:8" x14ac:dyDescent="0.3">
      <c r="A32" t="s">
        <v>8</v>
      </c>
      <c r="B32" t="s">
        <v>9</v>
      </c>
      <c r="C32" t="s">
        <v>20</v>
      </c>
      <c r="D32" t="s">
        <v>21</v>
      </c>
      <c r="E32" t="s">
        <v>20</v>
      </c>
      <c r="F32" t="s">
        <v>15</v>
      </c>
      <c r="G32">
        <v>3.05</v>
      </c>
      <c r="H32">
        <v>-3.05</v>
      </c>
    </row>
    <row r="33" spans="1:9" x14ac:dyDescent="0.3">
      <c r="A33" t="s">
        <v>8</v>
      </c>
      <c r="B33" t="s">
        <v>9</v>
      </c>
      <c r="C33" t="s">
        <v>20</v>
      </c>
      <c r="D33" t="s">
        <v>21</v>
      </c>
      <c r="E33" t="s">
        <v>20</v>
      </c>
      <c r="F33" t="s">
        <v>15</v>
      </c>
      <c r="G33">
        <v>30.96</v>
      </c>
      <c r="H33">
        <v>-30.96</v>
      </c>
    </row>
    <row r="34" spans="1:9" x14ac:dyDescent="0.3">
      <c r="A34" t="s">
        <v>8</v>
      </c>
      <c r="B34" t="s">
        <v>9</v>
      </c>
      <c r="C34" t="s">
        <v>20</v>
      </c>
      <c r="D34" t="s">
        <v>21</v>
      </c>
      <c r="E34" t="s">
        <v>20</v>
      </c>
      <c r="F34" t="s">
        <v>15</v>
      </c>
      <c r="G34">
        <v>33.549999999999997</v>
      </c>
      <c r="H34">
        <v>-33.549999999999997</v>
      </c>
    </row>
    <row r="35" spans="1:9" x14ac:dyDescent="0.3">
      <c r="A35" t="s">
        <v>8</v>
      </c>
      <c r="B35" t="s">
        <v>9</v>
      </c>
      <c r="C35" t="s">
        <v>20</v>
      </c>
      <c r="D35" t="s">
        <v>21</v>
      </c>
      <c r="E35" t="s">
        <v>20</v>
      </c>
      <c r="F35" t="s">
        <v>15</v>
      </c>
      <c r="G35">
        <v>40.22</v>
      </c>
      <c r="H35">
        <v>-40.22</v>
      </c>
    </row>
    <row r="36" spans="1:9" x14ac:dyDescent="0.3">
      <c r="A36" t="s">
        <v>8</v>
      </c>
      <c r="B36" t="s">
        <v>9</v>
      </c>
      <c r="C36" t="s">
        <v>20</v>
      </c>
      <c r="D36" t="s">
        <v>21</v>
      </c>
      <c r="E36" t="s">
        <v>20</v>
      </c>
      <c r="F36" t="s">
        <v>15</v>
      </c>
      <c r="G36">
        <v>98.15</v>
      </c>
      <c r="H36">
        <v>-98.15</v>
      </c>
    </row>
    <row r="37" spans="1:9" x14ac:dyDescent="0.3">
      <c r="A37" t="s">
        <v>8</v>
      </c>
      <c r="B37" t="s">
        <v>9</v>
      </c>
      <c r="C37" t="s">
        <v>20</v>
      </c>
      <c r="D37" t="s">
        <v>21</v>
      </c>
      <c r="E37" t="s">
        <v>20</v>
      </c>
      <c r="F37" t="s">
        <v>15</v>
      </c>
      <c r="G37">
        <v>205.83</v>
      </c>
      <c r="H37">
        <v>-205.83</v>
      </c>
    </row>
    <row r="38" spans="1:9" x14ac:dyDescent="0.3">
      <c r="A38" t="s">
        <v>8</v>
      </c>
      <c r="B38" t="s">
        <v>9</v>
      </c>
      <c r="C38" t="s">
        <v>20</v>
      </c>
      <c r="D38" t="s">
        <v>21</v>
      </c>
      <c r="E38" t="s">
        <v>20</v>
      </c>
      <c r="F38" t="s">
        <v>15</v>
      </c>
      <c r="G38">
        <v>251.21</v>
      </c>
      <c r="H38">
        <v>-251.21</v>
      </c>
    </row>
    <row r="39" spans="1:9" x14ac:dyDescent="0.3">
      <c r="A39" t="s">
        <v>8</v>
      </c>
      <c r="B39" t="s">
        <v>9</v>
      </c>
      <c r="C39" t="s">
        <v>20</v>
      </c>
      <c r="D39" t="s">
        <v>21</v>
      </c>
      <c r="E39" t="s">
        <v>20</v>
      </c>
      <c r="F39" t="s">
        <v>15</v>
      </c>
      <c r="G39">
        <v>284.73</v>
      </c>
      <c r="H39">
        <v>-284.73</v>
      </c>
    </row>
    <row r="40" spans="1:9" x14ac:dyDescent="0.3">
      <c r="A40" t="s">
        <v>8</v>
      </c>
      <c r="B40" t="s">
        <v>9</v>
      </c>
      <c r="C40" t="s">
        <v>20</v>
      </c>
      <c r="D40" t="s">
        <v>21</v>
      </c>
      <c r="E40" t="s">
        <v>20</v>
      </c>
      <c r="F40" t="s">
        <v>15</v>
      </c>
      <c r="G40">
        <v>443.97</v>
      </c>
      <c r="H40">
        <v>-443.97</v>
      </c>
    </row>
    <row r="41" spans="1:9" x14ac:dyDescent="0.3">
      <c r="A41" t="s">
        <v>8</v>
      </c>
      <c r="B41" t="s">
        <v>9</v>
      </c>
      <c r="C41" t="s">
        <v>20</v>
      </c>
      <c r="D41" t="s">
        <v>21</v>
      </c>
      <c r="E41" t="s">
        <v>20</v>
      </c>
      <c r="F41" t="s">
        <v>15</v>
      </c>
      <c r="G41">
        <v>758.09</v>
      </c>
      <c r="H41">
        <v>-758.09</v>
      </c>
      <c r="I41" s="6">
        <f>SUM(H13:H41)</f>
        <v>-6033.8400000000011</v>
      </c>
    </row>
    <row r="44" spans="1:9" x14ac:dyDescent="0.3">
      <c r="E44" s="1" t="s">
        <v>22</v>
      </c>
      <c r="I44">
        <f>+I41</f>
        <v>-6033.8400000000011</v>
      </c>
    </row>
    <row r="45" spans="1:9" x14ac:dyDescent="0.3">
      <c r="E45" s="2" t="s">
        <v>10</v>
      </c>
      <c r="I45">
        <f>+I12</f>
        <v>9263.7099999999991</v>
      </c>
    </row>
    <row r="48" spans="1:9" x14ac:dyDescent="0.3">
      <c r="E48" t="s">
        <v>23</v>
      </c>
    </row>
    <row r="49" spans="5:7" x14ac:dyDescent="0.3">
      <c r="E49" s="1" t="s">
        <v>22</v>
      </c>
      <c r="F49" s="2"/>
      <c r="G49" s="7">
        <v>-6033.8400000000011</v>
      </c>
    </row>
    <row r="50" spans="5:7" x14ac:dyDescent="0.3">
      <c r="E50" s="1">
        <v>163</v>
      </c>
      <c r="G50" s="8">
        <v>9263.7099999999991</v>
      </c>
    </row>
    <row r="51" spans="5:7" ht="15" thickBot="1" x14ac:dyDescent="0.35">
      <c r="G51" s="9">
        <f>SUM(G49:G50)</f>
        <v>3229.8699999999981</v>
      </c>
    </row>
    <row r="52" spans="5:7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2026-07-28T06:29:24Z</dcterms:modified>
</cp:coreProperties>
</file>